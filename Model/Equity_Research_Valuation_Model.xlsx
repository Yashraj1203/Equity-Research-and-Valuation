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Financials" sheetId="2" state="visible" r:id="rId2"/>
    <sheet xmlns:r="http://schemas.openxmlformats.org/officeDocument/2006/relationships" name="02_Scenario_Analysis" sheetId="3" state="visible" r:id="rId3"/>
    <sheet xmlns:r="http://schemas.openxmlformats.org/officeDocument/2006/relationships" name="03_DCF_Model" sheetId="4" state="visible" r:id="rId4"/>
    <sheet xmlns:r="http://schemas.openxmlformats.org/officeDocument/2006/relationships" name="04_Assumptions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₹#,##0.0"/>
    <numFmt numFmtId="166" formatCode="0.0%"/>
    <numFmt numFmtId="167" formatCode="0.0&quot;x&quot;"/>
    <numFmt numFmtId="168" formatCode="₹#,##0"/>
  </numFmts>
  <fonts count="12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55555"/>
      <sz val="9"/>
    </font>
    <font>
      <name val="Segoe UI"/>
      <b val="1"/>
      <color rgb="00555555"/>
      <sz val="9"/>
    </font>
    <font>
      <name val="Segoe UI"/>
      <b val="1"/>
      <color rgb="001B365D"/>
      <sz val="16"/>
    </font>
    <font>
      <name val="Segoe UI"/>
      <b val="1"/>
      <color rgb="000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i val="1"/>
      <color rgb="00555555"/>
      <sz val="8"/>
    </font>
    <font>
      <name val="Segoe UI"/>
      <b val="1"/>
      <color rgb="00002060"/>
      <sz val="9"/>
    </font>
    <font>
      <name val="Segoe UI"/>
      <b val="1"/>
      <color rgb="001B365D"/>
      <sz val="9"/>
    </font>
    <font>
      <name val="Segoe UI"/>
      <b val="1"/>
      <color rgb="00375623"/>
      <sz val="9"/>
    </font>
  </fonts>
  <fills count="12">
    <fill>
      <patternFill/>
    </fill>
    <fill>
      <patternFill patternType="gray125"/>
    </fill>
    <fill>
      <patternFill patternType="solid">
        <fgColor rgb="00F7F9FC"/>
        <bgColor rgb="00F7F9FC"/>
      </patternFill>
    </fill>
    <fill>
      <patternFill patternType="solid">
        <fgColor rgb="002B579A"/>
        <bgColor rgb="002B579A"/>
      </patternFill>
    </fill>
    <fill>
      <patternFill patternType="solid">
        <fgColor rgb="001B365D"/>
        <bgColor rgb="001B365D"/>
      </patternFill>
    </fill>
    <fill>
      <patternFill patternType="solid">
        <fgColor rgb="00F0F4FF"/>
        <bgColor rgb="00F0F4FF"/>
      </patternFill>
    </fill>
    <fill>
      <patternFill patternType="solid">
        <fgColor rgb="00E6EEF8"/>
        <bgColor rgb="00E6EEF8"/>
      </patternFill>
    </fill>
    <fill>
      <patternFill patternType="solid">
        <fgColor rgb="00334D6E"/>
        <bgColor rgb="00334D6E"/>
      </patternFill>
    </fill>
    <fill>
      <patternFill patternType="solid">
        <fgColor rgb="004672B0"/>
        <bgColor rgb="004672B0"/>
      </patternFill>
    </fill>
    <fill>
      <patternFill patternType="solid">
        <fgColor rgb="005B6770"/>
        <bgColor rgb="005B6770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5" fillId="0" borderId="1" pivotButton="0" quotePrefix="0" xfId="0"/>
    <xf numFmtId="165" fontId="9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8" fillId="0" borderId="1" pivotButton="0" quotePrefix="0" xfId="0"/>
    <xf numFmtId="166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9" fillId="5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right" vertical="center"/>
    </xf>
    <xf numFmtId="0" fontId="5" fillId="6" borderId="1" pivotButton="0" quotePrefix="0" xfId="0"/>
    <xf numFmtId="165" fontId="5" fillId="1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10" fillId="6" borderId="1" pivotButton="0" quotePrefix="0" xfId="0"/>
    <xf numFmtId="0" fontId="10" fillId="6" borderId="2" applyAlignment="1" pivotButton="0" quotePrefix="0" xfId="0">
      <alignment horizontal="right" vertical="center"/>
    </xf>
    <xf numFmtId="165" fontId="10" fillId="6" borderId="2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6" fontId="6" fillId="3" borderId="0" applyAlignment="1" pivotButton="0" quotePrefix="0" xfId="0">
      <alignment horizontal="center" vertical="center"/>
    </xf>
    <xf numFmtId="168" fontId="7" fillId="0" borderId="1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9" fillId="0" borderId="1" pivotButton="0" quotePrefix="0" xfId="0"/>
    <xf numFmtId="0" fontId="9" fillId="0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2" fontId="9" fillId="5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26" customWidth="1" min="4" max="4"/>
    <col width="38" customWidth="1" min="5" max="5"/>
    <col width="27" customWidth="1" min="6" max="6"/>
    <col width="11" customWidth="1" min="7" max="7"/>
    <col width="17" customWidth="1" min="8" max="8"/>
    <col width="11" customWidth="1" min="9" max="9"/>
  </cols>
  <sheetData>
    <row r="1">
      <c r="A1" s="1" t="inlineStr">
        <is>
          <t>EICHER MOTORS LIMITED (NSE: EICHERMOT)</t>
        </is>
      </c>
    </row>
    <row r="2">
      <c r="A2" s="2" t="inlineStr">
        <is>
          <t>Institutional Equity Research Dashboard &amp; Valuation Summary | Unit: ₹ Crore (unless specified)</t>
        </is>
      </c>
    </row>
    <row r="3"/>
    <row r="4">
      <c r="B4" s="3" t="inlineStr">
        <is>
          <t>Market Reference Price</t>
        </is>
      </c>
      <c r="C4" s="4" t="n"/>
      <c r="D4" s="3" t="inlineStr">
        <is>
          <t>Base Target Price (P/E)</t>
        </is>
      </c>
      <c r="E4" s="4" t="n"/>
      <c r="F4" s="3" t="inlineStr">
        <is>
          <t>Implied DCF Target Price</t>
        </is>
      </c>
      <c r="G4" s="4" t="n"/>
      <c r="H4" s="3" t="inlineStr">
        <is>
          <t>FY26 PAT</t>
        </is>
      </c>
      <c r="I4" s="4" t="n"/>
    </row>
    <row r="5">
      <c r="B5" s="5">
        <f>04_Assumptions_Audit!B4</f>
        <v/>
      </c>
      <c r="C5" s="4" t="n"/>
      <c r="D5" s="5">
        <f>02_Scenario_Analysis!H7</f>
        <v/>
      </c>
      <c r="E5" s="4" t="n"/>
      <c r="F5" s="5">
        <f>03_DCF_Model!B35</f>
        <v/>
      </c>
      <c r="G5" s="4" t="n"/>
      <c r="H5" s="6">
        <f>01_Financials!F9</f>
        <v/>
      </c>
      <c r="I5" s="4" t="n"/>
    </row>
    <row r="6"/>
    <row r="7">
      <c r="A7" s="7" t="inlineStr">
        <is>
          <t>1. Multi-Framework Valuation Benchmarking</t>
        </is>
      </c>
    </row>
    <row r="8">
      <c r="A8" s="8" t="inlineStr">
        <is>
          <t>Valuation Methodology</t>
        </is>
      </c>
      <c r="B8" s="8" t="inlineStr">
        <is>
          <t>Target Price (₹)</t>
        </is>
      </c>
      <c r="C8" s="8" t="inlineStr">
        <is>
          <t>Implied Upside / (Downside)</t>
        </is>
      </c>
      <c r="D8" s="8" t="inlineStr">
        <is>
          <t>Key Assumption / Multiple</t>
        </is>
      </c>
      <c r="E8" s="8" t="inlineStr">
        <is>
          <t>Model Reference</t>
        </is>
      </c>
    </row>
    <row r="9">
      <c r="A9" s="9" t="inlineStr">
        <is>
          <t>Base Case Scenario (P/E)</t>
        </is>
      </c>
      <c r="B9" s="10">
        <f>02_Scenario_Analysis!H7</f>
        <v/>
      </c>
      <c r="C9" s="11">
        <f>(B9/04_Assumptions_Audit!$B$4)-1</f>
        <v/>
      </c>
      <c r="D9" s="12">
        <f>02_Scenario_Analysis!D7</f>
        <v/>
      </c>
      <c r="E9" s="13" t="inlineStr">
        <is>
          <t>Scenario Engine (FY29E P/E 30.0x)</t>
        </is>
      </c>
    </row>
    <row r="10">
      <c r="A10" s="9" t="inlineStr">
        <is>
          <t>Bull Case Scenario (P/E)</t>
        </is>
      </c>
      <c r="B10" s="10">
        <f>02_Scenario_Analysis!H8</f>
        <v/>
      </c>
      <c r="C10" s="11">
        <f>(B10/04_Assumptions_Audit!$B$4)-1</f>
        <v/>
      </c>
      <c r="D10" s="12">
        <f>02_Scenario_Analysis!D8</f>
        <v/>
      </c>
      <c r="E10" s="13" t="inlineStr">
        <is>
          <t>Scenario Engine (FY29E P/E 36.0x)</t>
        </is>
      </c>
    </row>
    <row r="11">
      <c r="A11" s="9" t="inlineStr">
        <is>
          <t>Bear Case Scenario (P/E)</t>
        </is>
      </c>
      <c r="B11" s="10">
        <f>02_Scenario_Analysis!H6</f>
        <v/>
      </c>
      <c r="C11" s="11">
        <f>(B11/04_Assumptions_Audit!$B$4)-1</f>
        <v/>
      </c>
      <c r="D11" s="12">
        <f>02_Scenario_Analysis!D6</f>
        <v/>
      </c>
      <c r="E11" s="13" t="inlineStr">
        <is>
          <t>Scenario Engine (FY29E P/E 24.0x)</t>
        </is>
      </c>
    </row>
    <row r="12">
      <c r="A12" s="9" t="inlineStr">
        <is>
          <t>J.P. Morgan DCF (Perpetuity)</t>
        </is>
      </c>
      <c r="B12" s="10">
        <f>03_DCF_Model!B35</f>
        <v/>
      </c>
      <c r="C12" s="11">
        <f>(B12/04_Assumptions_Audit!$B$4)-1</f>
        <v/>
      </c>
      <c r="D12" s="12" t="inlineStr">
        <is>
          <t>WACC 10.5% | TGR 5.0%</t>
        </is>
      </c>
      <c r="E12" s="13" t="inlineStr">
        <is>
          <t>03_DCF_Model!B35 (2-Stage Extrapolation)</t>
        </is>
      </c>
    </row>
    <row r="13">
      <c r="A13" s="9" t="inlineStr">
        <is>
          <t>Automotive Peer Median P/E</t>
        </is>
      </c>
      <c r="B13" s="10">
        <f>(04_Assumptions_Audit!$B$4 / 04_Assumptions_Audit!$B$8) * 04_Assumptions_Audit!$B$10</f>
        <v/>
      </c>
      <c r="C13" s="11">
        <f>(B13/04_Assumptions_Audit!$B$4)-1</f>
        <v/>
      </c>
      <c r="D13" s="12">
        <f>04_Assumptions_Audit!B10</f>
        <v/>
      </c>
      <c r="E13" s="13" t="inlineStr">
        <is>
          <t>Trading Multiples Comps</t>
        </is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FINANCIAL SUMMARY &amp; OPERATING DRIVERS</t>
        </is>
      </c>
    </row>
    <row r="2">
      <c r="A2" s="2" t="inlineStr">
        <is>
          <t>Historical Reported Financials (FY22-FY26) &amp; Explicit Forecast (FY27E-FY29E) | All figures in ₹ Crore</t>
        </is>
      </c>
    </row>
    <row r="3"/>
    <row r="4">
      <c r="A4" s="14" t="inlineStr">
        <is>
          <t>Line Item / Operating KPI</t>
        </is>
      </c>
      <c r="B4" s="14" t="inlineStr">
        <is>
          <t>FY22</t>
        </is>
      </c>
      <c r="C4" s="14" t="inlineStr">
        <is>
          <t>FY23</t>
        </is>
      </c>
      <c r="D4" s="14" t="inlineStr">
        <is>
          <t>FY24</t>
        </is>
      </c>
      <c r="E4" s="14" t="inlineStr">
        <is>
          <t>FY25</t>
        </is>
      </c>
      <c r="F4" s="14" t="inlineStr">
        <is>
          <t>FY26</t>
        </is>
      </c>
      <c r="G4" s="14" t="inlineStr">
        <is>
          <t>FY27E</t>
        </is>
      </c>
      <c r="H4" s="14" t="inlineStr">
        <is>
          <t>FY28E</t>
        </is>
      </c>
      <c r="I4" s="14" t="inlineStr">
        <is>
          <t>FY29E</t>
        </is>
      </c>
    </row>
    <row r="5">
      <c r="A5" s="15" t="inlineStr">
        <is>
          <t>Revenue from Operations</t>
        </is>
      </c>
      <c r="B5" s="16" t="n">
        <v>10909</v>
      </c>
      <c r="C5" s="16" t="n">
        <v>14038</v>
      </c>
      <c r="D5" s="16" t="n">
        <v>16225</v>
      </c>
      <c r="E5" s="16" t="n">
        <v>18886</v>
      </c>
      <c r="F5" s="16" t="n">
        <v>23408</v>
      </c>
      <c r="G5" s="17">
        <f>F5*(1+04_Assumptions_Audit!$B$12)</f>
        <v/>
      </c>
      <c r="H5" s="17">
        <f>G5*(1+04_Assumptions_Audit!$B$13)</f>
        <v/>
      </c>
      <c r="I5" s="17">
        <f>H5*(1+04_Assumptions_Audit!$B$14)</f>
        <v/>
      </c>
    </row>
    <row r="6">
      <c r="A6" s="18" t="inlineStr">
        <is>
          <t xml:space="preserve">  YoY Revenue Growth (%)</t>
        </is>
      </c>
      <c r="B6" s="19" t="inlineStr">
        <is>
          <t>-</t>
        </is>
      </c>
      <c r="C6" s="19">
        <f>(C5-B5)/B5</f>
        <v/>
      </c>
      <c r="D6" s="19">
        <f>(D5-C5)/C5</f>
        <v/>
      </c>
      <c r="E6" s="19">
        <f>(E5-D5)/D5</f>
        <v/>
      </c>
      <c r="F6" s="19">
        <f>(F5-E5)/E5</f>
        <v/>
      </c>
      <c r="G6" s="11">
        <f>04_Assumptions_Audit!$B$12</f>
        <v/>
      </c>
      <c r="H6" s="11">
        <f>04_Assumptions_Audit!$B$13</f>
        <v/>
      </c>
      <c r="I6" s="11">
        <f>04_Assumptions_Audit!$B$14</f>
        <v/>
      </c>
    </row>
    <row r="7">
      <c r="A7" s="15" t="inlineStr">
        <is>
          <t>EBITDA</t>
        </is>
      </c>
      <c r="B7" s="16" t="n">
        <v>2395</v>
      </c>
      <c r="C7" s="16" t="n">
        <v>3604</v>
      </c>
      <c r="D7" s="16" t="n">
        <v>4300</v>
      </c>
      <c r="E7" s="16" t="n">
        <v>4700</v>
      </c>
      <c r="F7" s="16" t="n">
        <v>5785</v>
      </c>
      <c r="G7" s="17">
        <f>G5*G8</f>
        <v/>
      </c>
      <c r="H7" s="17">
        <f>H5*H8</f>
        <v/>
      </c>
      <c r="I7" s="17">
        <f>I5*I8</f>
        <v/>
      </c>
    </row>
    <row r="8">
      <c r="A8" s="18" t="inlineStr">
        <is>
          <t xml:space="preserve">  EBITDA Margin (%)</t>
        </is>
      </c>
      <c r="B8" s="19">
        <f>B7/B5</f>
        <v/>
      </c>
      <c r="C8" s="19">
        <f>C7/C5</f>
        <v/>
      </c>
      <c r="D8" s="19">
        <f>D7/D5</f>
        <v/>
      </c>
      <c r="E8" s="19">
        <f>E7/E5</f>
        <v/>
      </c>
      <c r="F8" s="19">
        <f>F7/F5</f>
        <v/>
      </c>
      <c r="G8" s="11">
        <f>04_Assumptions_Audit!$B$15</f>
        <v/>
      </c>
      <c r="H8" s="11">
        <f>04_Assumptions_Audit!$B$16</f>
        <v/>
      </c>
      <c r="I8" s="11">
        <f>04_Assumptions_Audit!$B$17</f>
        <v/>
      </c>
    </row>
    <row r="9">
      <c r="A9" s="15" t="inlineStr">
        <is>
          <t>Profit After Tax (PAT)</t>
        </is>
      </c>
      <c r="B9" s="16" t="n">
        <v>1840</v>
      </c>
      <c r="C9" s="16" t="n">
        <v>2860</v>
      </c>
      <c r="D9" s="16" t="n">
        <v>3167</v>
      </c>
      <c r="E9" s="16" t="n">
        <v>4700</v>
      </c>
      <c r="F9" s="16" t="n">
        <v>5515</v>
      </c>
      <c r="G9" s="17">
        <f>G5*G10</f>
        <v/>
      </c>
      <c r="H9" s="17">
        <f>H5*H10</f>
        <v/>
      </c>
      <c r="I9" s="17">
        <f>I5*I10</f>
        <v/>
      </c>
    </row>
    <row r="10">
      <c r="A10" s="18" t="inlineStr">
        <is>
          <t xml:space="preserve">  PAT Margin (%)</t>
        </is>
      </c>
      <c r="B10" s="19">
        <f>B9/B5</f>
        <v/>
      </c>
      <c r="C10" s="19">
        <f>C9/C5</f>
        <v/>
      </c>
      <c r="D10" s="19">
        <f>D9/D5</f>
        <v/>
      </c>
      <c r="E10" s="19">
        <f>E9/E5</f>
        <v/>
      </c>
      <c r="F10" s="19">
        <f>F9/F5</f>
        <v/>
      </c>
      <c r="G10" s="11">
        <f>04_Assumptions_Audit!$B$18</f>
        <v/>
      </c>
      <c r="H10" s="11">
        <f>04_Assumptions_Audit!$B$19</f>
        <v/>
      </c>
      <c r="I10" s="11">
        <f>04_Assumptions_Audit!$B$20</f>
        <v/>
      </c>
    </row>
    <row r="11">
      <c r="A11" s="15" t="inlineStr">
        <is>
          <t>Royal Enfield Volumes (Units)</t>
        </is>
      </c>
      <c r="B11" s="20" t="n">
        <v>611146</v>
      </c>
      <c r="C11" s="20" t="n">
        <v>834895</v>
      </c>
      <c r="D11" s="20" t="n">
        <v>912732</v>
      </c>
      <c r="E11" s="20" t="n">
        <v>1007602</v>
      </c>
      <c r="F11" s="20" t="n">
        <v>1227977</v>
      </c>
      <c r="G11" s="20">
        <f>F11*(1+G6)</f>
        <v/>
      </c>
      <c r="H11" s="20">
        <f>G11*(1+H6)</f>
        <v/>
      </c>
      <c r="I11" s="20">
        <f>H11*(1+I6)</f>
        <v/>
      </c>
    </row>
    <row r="12">
      <c r="A12" s="15" t="inlineStr">
        <is>
          <t>VECV Commercial Vehicles (Units)</t>
        </is>
      </c>
      <c r="B12" s="20" t="n">
        <v>72000</v>
      </c>
      <c r="C12" s="20" t="n">
        <v>85000</v>
      </c>
      <c r="D12" s="20" t="n">
        <v>90000</v>
      </c>
      <c r="E12" s="20" t="n">
        <v>90300</v>
      </c>
      <c r="F12" s="20" t="n">
        <v>103404</v>
      </c>
      <c r="G12" s="20">
        <f>F12*1.08</f>
        <v/>
      </c>
      <c r="H12" s="20">
        <f>G12*1.08</f>
        <v/>
      </c>
      <c r="I12" s="20">
        <f>H12*1.08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20" customWidth="1" min="4" max="4"/>
    <col width="23" customWidth="1" min="5" max="5"/>
    <col width="19" customWidth="1" min="6" max="6"/>
    <col width="28" customWidth="1" min="7" max="7"/>
    <col width="26" customWidth="1" min="8" max="8"/>
  </cols>
  <sheetData>
    <row r="1">
      <c r="A1" s="1" t="inlineStr">
        <is>
          <t>SCENARIO ANALYSIS &amp; OPERATING LEVERS ENGINE</t>
        </is>
      </c>
    </row>
    <row r="2">
      <c r="A2" s="2" t="inlineStr">
        <is>
          <t>FY29E Valuation Sensitivity Matrix across Bear, Base, and Bull Cases | Dynamic links to summary</t>
        </is>
      </c>
    </row>
    <row r="3"/>
    <row r="4"/>
    <row r="5">
      <c r="A5" s="8" t="inlineStr">
        <is>
          <t>Scenario Case</t>
        </is>
      </c>
      <c r="B5" s="8" t="inlineStr">
        <is>
          <t>FY29E Rev Growth</t>
        </is>
      </c>
      <c r="C5" s="8" t="inlineStr">
        <is>
          <t>FY29E PAT Margin</t>
        </is>
      </c>
      <c r="D5" s="8" t="inlineStr">
        <is>
          <t>Exit P/E Multiple</t>
        </is>
      </c>
      <c r="E5" s="8" t="inlineStr">
        <is>
          <t>FY29E Revenue (₹ Cr)</t>
        </is>
      </c>
      <c r="F5" s="8" t="inlineStr">
        <is>
          <t>FY29E PAT (₹ Cr)</t>
        </is>
      </c>
      <c r="G5" s="8" t="inlineStr">
        <is>
          <t>Implied Equity Value (₹ Cr)</t>
        </is>
      </c>
      <c r="H5" s="8" t="inlineStr">
        <is>
          <t>Implied Target Price (₹)</t>
        </is>
      </c>
    </row>
    <row r="6">
      <c r="A6" s="21" t="inlineStr">
        <is>
          <t>Bear</t>
        </is>
      </c>
      <c r="B6" s="22" t="n">
        <v>0.08</v>
      </c>
      <c r="C6" s="22" t="n">
        <v>0.19</v>
      </c>
      <c r="D6" s="23" t="n">
        <v>24</v>
      </c>
      <c r="E6" s="24">
        <f>01_Financials!$H$5*(1+B6)</f>
        <v/>
      </c>
      <c r="F6" s="24">
        <f>E6*C6</f>
        <v/>
      </c>
      <c r="G6" s="24">
        <f>F6*D6</f>
        <v/>
      </c>
      <c r="H6" s="10">
        <f>G6/04_Assumptions_Audit!$B$7</f>
        <v/>
      </c>
    </row>
    <row r="7">
      <c r="A7" s="25" t="inlineStr">
        <is>
          <t>Base</t>
        </is>
      </c>
      <c r="B7" s="22" t="n">
        <v>0.12</v>
      </c>
      <c r="C7" s="22" t="n">
        <v>0.21</v>
      </c>
      <c r="D7" s="23" t="n">
        <v>30</v>
      </c>
      <c r="E7" s="24">
        <f>01_Financials!$H$5*(1+B7)</f>
        <v/>
      </c>
      <c r="F7" s="24">
        <f>E7*C7</f>
        <v/>
      </c>
      <c r="G7" s="24">
        <f>F7*D7</f>
        <v/>
      </c>
      <c r="H7" s="26">
        <f>G7/04_Assumptions_Audit!$B$7</f>
        <v/>
      </c>
    </row>
    <row r="8">
      <c r="A8" s="21" t="inlineStr">
        <is>
          <t>Bull</t>
        </is>
      </c>
      <c r="B8" s="22" t="n">
        <v>0.16</v>
      </c>
      <c r="C8" s="22" t="n">
        <v>0.225</v>
      </c>
      <c r="D8" s="23" t="n">
        <v>36</v>
      </c>
      <c r="E8" s="24">
        <f>01_Financials!$H$5*(1+B8)</f>
        <v/>
      </c>
      <c r="F8" s="24">
        <f>E8*C8</f>
        <v/>
      </c>
      <c r="G8" s="24">
        <f>F8*D8</f>
        <v/>
      </c>
      <c r="H8" s="10">
        <f>G8/04_Assumptions_Audit!$B$7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Eicher Motors Limited | Discounted Cash Flow (DCF) Valuation</t>
        </is>
      </c>
    </row>
    <row r="2">
      <c r="A2" s="2" t="inlineStr">
        <is>
          <t>Historical Financials (FY22-FY26), Explicit Forecasts &amp; Extrapolation | J.P. Morgan Equity Research Template | Unit: ₹ Crore</t>
        </is>
      </c>
    </row>
    <row r="3"/>
    <row r="4">
      <c r="B4" s="27" t="inlineStr">
        <is>
          <t>Historical Track Record</t>
        </is>
      </c>
      <c r="G4" s="8" t="inlineStr">
        <is>
          <t>Explicit Analyst Forecasts</t>
        </is>
      </c>
      <c r="J4" s="28" t="inlineStr">
        <is>
          <t>Outside-in Extrapolation</t>
        </is>
      </c>
      <c r="M4" s="29" t="inlineStr">
        <is>
          <t>Terminal</t>
        </is>
      </c>
    </row>
    <row r="5">
      <c r="A5" s="30" t="inlineStr">
        <is>
          <t>Line Item / Operating Metric</t>
        </is>
      </c>
      <c r="B5" s="31" t="inlineStr">
        <is>
          <t>FY22</t>
        </is>
      </c>
      <c r="C5" s="31" t="inlineStr">
        <is>
          <t>FY23</t>
        </is>
      </c>
      <c r="D5" s="31" t="inlineStr">
        <is>
          <t>FY24</t>
        </is>
      </c>
      <c r="E5" s="31" t="inlineStr">
        <is>
          <t>FY25</t>
        </is>
      </c>
      <c r="F5" s="31" t="inlineStr">
        <is>
          <t>FY26</t>
        </is>
      </c>
      <c r="G5" s="32" t="inlineStr">
        <is>
          <t>FY27E (1)</t>
        </is>
      </c>
      <c r="H5" s="32" t="inlineStr">
        <is>
          <t>FY28E (2)</t>
        </is>
      </c>
      <c r="I5" s="32" t="inlineStr">
        <is>
          <t>FY29E (3)</t>
        </is>
      </c>
      <c r="J5" s="33" t="inlineStr">
        <is>
          <t>FY30E (4)</t>
        </is>
      </c>
      <c r="K5" s="33" t="inlineStr">
        <is>
          <t>FY31E (5)</t>
        </is>
      </c>
      <c r="L5" s="33" t="inlineStr">
        <is>
          <t>FY32E (6)</t>
        </is>
      </c>
      <c r="M5" s="34" t="inlineStr">
        <is>
          <t>TV</t>
        </is>
      </c>
    </row>
    <row r="6">
      <c r="A6" s="15" t="inlineStr">
        <is>
          <t>Revenue</t>
        </is>
      </c>
      <c r="B6" s="17">
        <f>01_Financials!B5</f>
        <v/>
      </c>
      <c r="C6" s="17">
        <f>01_Financials!C5</f>
        <v/>
      </c>
      <c r="D6" s="17">
        <f>01_Financials!D5</f>
        <v/>
      </c>
      <c r="E6" s="17">
        <f>01_Financials!E5</f>
        <v/>
      </c>
      <c r="F6" s="17">
        <f>01_Financials!F5</f>
        <v/>
      </c>
      <c r="G6" s="17">
        <f>01_Financials!G5</f>
        <v/>
      </c>
      <c r="H6" s="17">
        <f>01_Financials!H5</f>
        <v/>
      </c>
      <c r="I6" s="17">
        <f>01_Financials!I5</f>
        <v/>
      </c>
      <c r="J6" s="17">
        <f>I6*1.09</f>
        <v/>
      </c>
      <c r="K6" s="17">
        <f>J6*1.07</f>
        <v/>
      </c>
      <c r="L6" s="17">
        <f>K6*1.05</f>
        <v/>
      </c>
      <c r="M6" s="35" t="inlineStr">
        <is>
          <t>-</t>
        </is>
      </c>
    </row>
    <row r="7">
      <c r="A7" s="18" t="inlineStr">
        <is>
          <t xml:space="preserve">  % YoY growth</t>
        </is>
      </c>
      <c r="B7" s="36" t="inlineStr">
        <is>
          <t>-</t>
        </is>
      </c>
      <c r="C7" s="37">
        <f>(C6-B6)/B6</f>
        <v/>
      </c>
      <c r="D7" s="37">
        <f>(D6-C6)/C6</f>
        <v/>
      </c>
      <c r="E7" s="37">
        <f>(E6-D6)/D6</f>
        <v/>
      </c>
      <c r="F7" s="37">
        <f>(F6-E6)/E6</f>
        <v/>
      </c>
      <c r="G7" s="37">
        <f>(G6-F6)/F6</f>
        <v/>
      </c>
      <c r="H7" s="37">
        <f>(H6-G6)/G6</f>
        <v/>
      </c>
      <c r="I7" s="37">
        <f>(I6-H6)/H6</f>
        <v/>
      </c>
      <c r="J7" s="37">
        <f>(J6-I6)/I6</f>
        <v/>
      </c>
      <c r="K7" s="37">
        <f>(K6-J6)/J6</f>
        <v/>
      </c>
      <c r="L7" s="37">
        <f>(L6-K6)/K6</f>
        <v/>
      </c>
      <c r="M7" s="36" t="inlineStr">
        <is>
          <t>-</t>
        </is>
      </c>
    </row>
    <row r="8">
      <c r="A8" s="15" t="inlineStr">
        <is>
          <t>Adj. EBITDA</t>
        </is>
      </c>
      <c r="B8" s="17">
        <f>01_Financials!B7</f>
        <v/>
      </c>
      <c r="C8" s="17">
        <f>01_Financials!C7</f>
        <v/>
      </c>
      <c r="D8" s="17">
        <f>01_Financials!D7</f>
        <v/>
      </c>
      <c r="E8" s="17">
        <f>01_Financials!E7</f>
        <v/>
      </c>
      <c r="F8" s="17">
        <f>01_Financials!F7</f>
        <v/>
      </c>
      <c r="G8" s="17">
        <f>01_Financials!G7</f>
        <v/>
      </c>
      <c r="H8" s="17">
        <f>01_Financials!H7</f>
        <v/>
      </c>
      <c r="I8" s="17">
        <f>01_Financials!I7</f>
        <v/>
      </c>
      <c r="J8" s="17">
        <f>J6*0.26</f>
        <v/>
      </c>
      <c r="K8" s="17">
        <f>K6*0.26</f>
        <v/>
      </c>
      <c r="L8" s="17">
        <f>L6*0.26</f>
        <v/>
      </c>
      <c r="M8" s="35" t="inlineStr">
        <is>
          <t>-</t>
        </is>
      </c>
    </row>
    <row r="9">
      <c r="A9" s="18" t="inlineStr">
        <is>
          <t xml:space="preserve">  % EBITDA margin</t>
        </is>
      </c>
      <c r="B9" s="37">
        <f>B8/B6</f>
        <v/>
      </c>
      <c r="C9" s="37">
        <f>C8/C6</f>
        <v/>
      </c>
      <c r="D9" s="37">
        <f>D8/D6</f>
        <v/>
      </c>
      <c r="E9" s="37">
        <f>E8/E6</f>
        <v/>
      </c>
      <c r="F9" s="37">
        <f>F8/F6</f>
        <v/>
      </c>
      <c r="G9" s="37">
        <f>G8/G6</f>
        <v/>
      </c>
      <c r="H9" s="37">
        <f>H8/H6</f>
        <v/>
      </c>
      <c r="I9" s="37">
        <f>I8/I6</f>
        <v/>
      </c>
      <c r="J9" s="37">
        <f>J8/J6</f>
        <v/>
      </c>
      <c r="K9" s="37">
        <f>K8/K6</f>
        <v/>
      </c>
      <c r="L9" s="37">
        <f>L8/L6</f>
        <v/>
      </c>
      <c r="M9" s="36" t="inlineStr">
        <is>
          <t>-</t>
        </is>
      </c>
    </row>
    <row r="10">
      <c r="A10" s="38" t="inlineStr">
        <is>
          <t>D&amp;A</t>
        </is>
      </c>
      <c r="B10" s="24">
        <f>-B6*04_Assumptions_Audit!$B$23</f>
        <v/>
      </c>
      <c r="C10" s="24">
        <f>-C6*04_Assumptions_Audit!$B$23</f>
        <v/>
      </c>
      <c r="D10" s="24">
        <f>-D6*04_Assumptions_Audit!$B$23</f>
        <v/>
      </c>
      <c r="E10" s="24">
        <f>-E6*04_Assumptions_Audit!$B$23</f>
        <v/>
      </c>
      <c r="F10" s="24">
        <f>-F6*04_Assumptions_Audit!$B$23</f>
        <v/>
      </c>
      <c r="G10" s="24">
        <f>-G6*04_Assumptions_Audit!$B$23</f>
        <v/>
      </c>
      <c r="H10" s="24">
        <f>-H6*04_Assumptions_Audit!$B$23</f>
        <v/>
      </c>
      <c r="I10" s="24">
        <f>-I6*04_Assumptions_Audit!$B$23</f>
        <v/>
      </c>
      <c r="J10" s="24">
        <f>-J6*0.018</f>
        <v/>
      </c>
      <c r="K10" s="24">
        <f>-K6*0.018</f>
        <v/>
      </c>
      <c r="L10" s="24">
        <f>-L6*0.018</f>
        <v/>
      </c>
      <c r="M10" s="39" t="inlineStr">
        <is>
          <t>-</t>
        </is>
      </c>
    </row>
    <row r="11">
      <c r="A11" s="18" t="inlineStr">
        <is>
          <t xml:space="preserve">  % of revenue</t>
        </is>
      </c>
      <c r="B11" s="37">
        <f>-B10/B6</f>
        <v/>
      </c>
      <c r="C11" s="37">
        <f>-C10/C6</f>
        <v/>
      </c>
      <c r="D11" s="37">
        <f>-D10/D6</f>
        <v/>
      </c>
      <c r="E11" s="37">
        <f>-E10/E6</f>
        <v/>
      </c>
      <c r="F11" s="37">
        <f>-F10/F6</f>
        <v/>
      </c>
      <c r="G11" s="37">
        <f>-G10/G6</f>
        <v/>
      </c>
      <c r="H11" s="37">
        <f>-H10/H6</f>
        <v/>
      </c>
      <c r="I11" s="37">
        <f>-I10/I6</f>
        <v/>
      </c>
      <c r="J11" s="37">
        <f>-J10/J6</f>
        <v/>
      </c>
      <c r="K11" s="37">
        <f>-K10/K6</f>
        <v/>
      </c>
      <c r="L11" s="37">
        <f>-L10/L6</f>
        <v/>
      </c>
      <c r="M11" s="36" t="inlineStr">
        <is>
          <t>-</t>
        </is>
      </c>
    </row>
    <row r="12">
      <c r="A12" s="18" t="inlineStr">
        <is>
          <t xml:space="preserve">  % of capex</t>
        </is>
      </c>
      <c r="B12" s="37">
        <f>B10/B19</f>
        <v/>
      </c>
      <c r="C12" s="37">
        <f>C10/C19</f>
        <v/>
      </c>
      <c r="D12" s="37">
        <f>D10/D19</f>
        <v/>
      </c>
      <c r="E12" s="37">
        <f>E10/E19</f>
        <v/>
      </c>
      <c r="F12" s="37">
        <f>F10/F19</f>
        <v/>
      </c>
      <c r="G12" s="37">
        <f>G10/G19</f>
        <v/>
      </c>
      <c r="H12" s="37">
        <f>H10/H19</f>
        <v/>
      </c>
      <c r="I12" s="37">
        <f>I10/I19</f>
        <v/>
      </c>
      <c r="J12" s="37">
        <f>J10/J19</f>
        <v/>
      </c>
      <c r="K12" s="37">
        <f>K10/K19</f>
        <v/>
      </c>
      <c r="L12" s="37">
        <f>L10/L19</f>
        <v/>
      </c>
      <c r="M12" s="36" t="inlineStr">
        <is>
          <t>-</t>
        </is>
      </c>
    </row>
    <row r="13">
      <c r="A13" s="15" t="inlineStr">
        <is>
          <t>Adj. EBIT</t>
        </is>
      </c>
      <c r="B13" s="17">
        <f>B8+B10</f>
        <v/>
      </c>
      <c r="C13" s="17">
        <f>C8+C10</f>
        <v/>
      </c>
      <c r="D13" s="17">
        <f>D8+D10</f>
        <v/>
      </c>
      <c r="E13" s="17">
        <f>E8+E10</f>
        <v/>
      </c>
      <c r="F13" s="17">
        <f>F8+F10</f>
        <v/>
      </c>
      <c r="G13" s="17">
        <f>G8+G10</f>
        <v/>
      </c>
      <c r="H13" s="17">
        <f>H8+H10</f>
        <v/>
      </c>
      <c r="I13" s="17">
        <f>I8+I10</f>
        <v/>
      </c>
      <c r="J13" s="17">
        <f>J8+J10</f>
        <v/>
      </c>
      <c r="K13" s="17">
        <f>K8+K10</f>
        <v/>
      </c>
      <c r="L13" s="17">
        <f>L8+L10</f>
        <v/>
      </c>
      <c r="M13" s="35" t="inlineStr">
        <is>
          <t>-</t>
        </is>
      </c>
    </row>
    <row r="14">
      <c r="A14" s="18" t="inlineStr">
        <is>
          <t xml:space="preserve">  % EBIT margin</t>
        </is>
      </c>
      <c r="B14" s="37">
        <f>B13/B6</f>
        <v/>
      </c>
      <c r="C14" s="37">
        <f>C13/C6</f>
        <v/>
      </c>
      <c r="D14" s="37">
        <f>D13/D6</f>
        <v/>
      </c>
      <c r="E14" s="37">
        <f>E13/E6</f>
        <v/>
      </c>
      <c r="F14" s="37">
        <f>F13/F6</f>
        <v/>
      </c>
      <c r="G14" s="37">
        <f>G13/G6</f>
        <v/>
      </c>
      <c r="H14" s="37">
        <f>H13/H6</f>
        <v/>
      </c>
      <c r="I14" s="37">
        <f>I13/I6</f>
        <v/>
      </c>
      <c r="J14" s="37">
        <f>J13/J6</f>
        <v/>
      </c>
      <c r="K14" s="37">
        <f>K13/K6</f>
        <v/>
      </c>
      <c r="L14" s="37">
        <f>L13/L6</f>
        <v/>
      </c>
      <c r="M14" s="36" t="inlineStr">
        <is>
          <t>-</t>
        </is>
      </c>
    </row>
    <row r="15">
      <c r="A15" s="38" t="inlineStr">
        <is>
          <t>Tax on EBIT</t>
        </is>
      </c>
      <c r="B15" s="24">
        <f>-B13*04_Assumptions_Audit!$B$26</f>
        <v/>
      </c>
      <c r="C15" s="24">
        <f>-C13*04_Assumptions_Audit!$B$26</f>
        <v/>
      </c>
      <c r="D15" s="24">
        <f>-D13*04_Assumptions_Audit!$B$26</f>
        <v/>
      </c>
      <c r="E15" s="24">
        <f>-E13*04_Assumptions_Audit!$B$26</f>
        <v/>
      </c>
      <c r="F15" s="24">
        <f>-F13*04_Assumptions_Audit!$B$26</f>
        <v/>
      </c>
      <c r="G15" s="24">
        <f>-G13*04_Assumptions_Audit!$B$26</f>
        <v/>
      </c>
      <c r="H15" s="24">
        <f>-H13*04_Assumptions_Audit!$B$26</f>
        <v/>
      </c>
      <c r="I15" s="24">
        <f>-I13*04_Assumptions_Audit!$B$26</f>
        <v/>
      </c>
      <c r="J15" s="24">
        <f>-J13*04_Assumptions_Audit!$B$26</f>
        <v/>
      </c>
      <c r="K15" s="24">
        <f>-K13*04_Assumptions_Audit!$B$26</f>
        <v/>
      </c>
      <c r="L15" s="24">
        <f>-L13*04_Assumptions_Audit!$B$26</f>
        <v/>
      </c>
      <c r="M15" s="39" t="inlineStr">
        <is>
          <t>-</t>
        </is>
      </c>
    </row>
    <row r="16">
      <c r="A16" s="18" t="inlineStr">
        <is>
          <t xml:space="preserve">  % effective tax rate</t>
        </is>
      </c>
      <c r="B16" s="37">
        <f>04_Assumptions_Audit!$B$26</f>
        <v/>
      </c>
      <c r="C16" s="37">
        <f>04_Assumptions_Audit!$B$26</f>
        <v/>
      </c>
      <c r="D16" s="37">
        <f>04_Assumptions_Audit!$B$26</f>
        <v/>
      </c>
      <c r="E16" s="37">
        <f>04_Assumptions_Audit!$B$26</f>
        <v/>
      </c>
      <c r="F16" s="37">
        <f>04_Assumptions_Audit!$B$26</f>
        <v/>
      </c>
      <c r="G16" s="37">
        <f>04_Assumptions_Audit!$B$26</f>
        <v/>
      </c>
      <c r="H16" s="37">
        <f>04_Assumptions_Audit!$B$26</f>
        <v/>
      </c>
      <c r="I16" s="37">
        <f>04_Assumptions_Audit!$B$26</f>
        <v/>
      </c>
      <c r="J16" s="37">
        <f>04_Assumptions_Audit!$B$26</f>
        <v/>
      </c>
      <c r="K16" s="37">
        <f>04_Assumptions_Audit!$B$26</f>
        <v/>
      </c>
      <c r="L16" s="37">
        <f>04_Assumptions_Audit!$B$26</f>
        <v/>
      </c>
      <c r="M16" s="36" t="inlineStr">
        <is>
          <t>-</t>
        </is>
      </c>
    </row>
    <row r="17">
      <c r="A17" s="40" t="inlineStr">
        <is>
          <t>NOPAT (EBIAT)</t>
        </is>
      </c>
      <c r="B17" s="17">
        <f>B13+B15</f>
        <v/>
      </c>
      <c r="C17" s="17">
        <f>C13+C15</f>
        <v/>
      </c>
      <c r="D17" s="17">
        <f>D13+D15</f>
        <v/>
      </c>
      <c r="E17" s="17">
        <f>E13+E15</f>
        <v/>
      </c>
      <c r="F17" s="17">
        <f>F13+F15</f>
        <v/>
      </c>
      <c r="G17" s="17">
        <f>G13+G15</f>
        <v/>
      </c>
      <c r="H17" s="17">
        <f>H13+H15</f>
        <v/>
      </c>
      <c r="I17" s="17">
        <f>I13+I15</f>
        <v/>
      </c>
      <c r="J17" s="17">
        <f>J13+J15</f>
        <v/>
      </c>
      <c r="K17" s="17">
        <f>K13+K15</f>
        <v/>
      </c>
      <c r="L17" s="17">
        <f>L13+L15</f>
        <v/>
      </c>
      <c r="M17" s="35" t="inlineStr">
        <is>
          <t>-</t>
        </is>
      </c>
    </row>
    <row r="18">
      <c r="A18" s="38" t="inlineStr">
        <is>
          <t>(+) Non-Cash D&amp;A</t>
        </is>
      </c>
      <c r="B18" s="24">
        <f>-B10</f>
        <v/>
      </c>
      <c r="C18" s="24">
        <f>-C10</f>
        <v/>
      </c>
      <c r="D18" s="24">
        <f>-D10</f>
        <v/>
      </c>
      <c r="E18" s="24">
        <f>-E10</f>
        <v/>
      </c>
      <c r="F18" s="24">
        <f>-F10</f>
        <v/>
      </c>
      <c r="G18" s="24">
        <f>-G10</f>
        <v/>
      </c>
      <c r="H18" s="24">
        <f>-H10</f>
        <v/>
      </c>
      <c r="I18" s="24">
        <f>-I10</f>
        <v/>
      </c>
      <c r="J18" s="24">
        <f>-J10</f>
        <v/>
      </c>
      <c r="K18" s="24">
        <f>-K10</f>
        <v/>
      </c>
      <c r="L18" s="24">
        <f>-L10</f>
        <v/>
      </c>
      <c r="M18" s="39" t="inlineStr">
        <is>
          <t>-</t>
        </is>
      </c>
    </row>
    <row r="19">
      <c r="A19" s="38" t="inlineStr">
        <is>
          <t>(-) Capital Expenditure (Capex)</t>
        </is>
      </c>
      <c r="B19" s="24">
        <f>-B6*04_Assumptions_Audit!$B$24</f>
        <v/>
      </c>
      <c r="C19" s="24">
        <f>-C6*04_Assumptions_Audit!$B$24</f>
        <v/>
      </c>
      <c r="D19" s="24">
        <f>-D6*04_Assumptions_Audit!$B$24</f>
        <v/>
      </c>
      <c r="E19" s="24">
        <f>-E6*04_Assumptions_Audit!$B$24</f>
        <v/>
      </c>
      <c r="F19" s="24">
        <f>-F6*04_Assumptions_Audit!$B$24</f>
        <v/>
      </c>
      <c r="G19" s="24">
        <f>-G6*04_Assumptions_Audit!$B$24</f>
        <v/>
      </c>
      <c r="H19" s="24">
        <f>-H6*04_Assumptions_Audit!$B$24</f>
        <v/>
      </c>
      <c r="I19" s="24">
        <f>-I6*04_Assumptions_Audit!$B$24</f>
        <v/>
      </c>
      <c r="J19" s="24">
        <f>-J6*0.040</f>
        <v/>
      </c>
      <c r="K19" s="24">
        <f>-K6*0.035</f>
        <v/>
      </c>
      <c r="L19" s="24">
        <f>-L6*0.030</f>
        <v/>
      </c>
      <c r="M19" s="39" t="inlineStr">
        <is>
          <t>-</t>
        </is>
      </c>
    </row>
    <row r="20">
      <c r="A20" s="18" t="inlineStr">
        <is>
          <t xml:space="preserve">  % of revenue</t>
        </is>
      </c>
      <c r="B20" s="37">
        <f>-B19/B6</f>
        <v/>
      </c>
      <c r="C20" s="37">
        <f>-C19/C6</f>
        <v/>
      </c>
      <c r="D20" s="37">
        <f>-D19/D6</f>
        <v/>
      </c>
      <c r="E20" s="37">
        <f>-E19/E6</f>
        <v/>
      </c>
      <c r="F20" s="37">
        <f>-F19/F6</f>
        <v/>
      </c>
      <c r="G20" s="37">
        <f>-G19/G6</f>
        <v/>
      </c>
      <c r="H20" s="37">
        <f>-H19/H6</f>
        <v/>
      </c>
      <c r="I20" s="37">
        <f>-I19/I6</f>
        <v/>
      </c>
      <c r="J20" s="37">
        <f>-J19/J6</f>
        <v/>
      </c>
      <c r="K20" s="37">
        <f>-K19/K6</f>
        <v/>
      </c>
      <c r="L20" s="37">
        <f>-L19/L6</f>
        <v/>
      </c>
      <c r="M20" s="36" t="inlineStr">
        <is>
          <t>-</t>
        </is>
      </c>
    </row>
    <row r="21">
      <c r="A21" s="38" t="inlineStr">
        <is>
          <t>(-) Change in Working Capital (NWC)</t>
        </is>
      </c>
      <c r="B21" s="24">
        <f>-B6*04_Assumptions_Audit!$B$25</f>
        <v/>
      </c>
      <c r="C21" s="24">
        <f>-C6*04_Assumptions_Audit!$B$25</f>
        <v/>
      </c>
      <c r="D21" s="24">
        <f>-D6*04_Assumptions_Audit!$B$25</f>
        <v/>
      </c>
      <c r="E21" s="24">
        <f>-E6*04_Assumptions_Audit!$B$25</f>
        <v/>
      </c>
      <c r="F21" s="24">
        <f>-F6*04_Assumptions_Audit!$B$25</f>
        <v/>
      </c>
      <c r="G21" s="24">
        <f>-G6*04_Assumptions_Audit!$B$25</f>
        <v/>
      </c>
      <c r="H21" s="24">
        <f>-H6*04_Assumptions_Audit!$B$25</f>
        <v/>
      </c>
      <c r="I21" s="24">
        <f>-I6*04_Assumptions_Audit!$B$25</f>
        <v/>
      </c>
      <c r="J21" s="24">
        <f>-J6*0.020</f>
        <v/>
      </c>
      <c r="K21" s="24">
        <f>-K6*0.020</f>
        <v/>
      </c>
      <c r="L21" s="24">
        <f>-L6*0.020</f>
        <v/>
      </c>
      <c r="M21" s="39" t="inlineStr">
        <is>
          <t>-</t>
        </is>
      </c>
    </row>
    <row r="22">
      <c r="A22" s="40" t="inlineStr">
        <is>
          <t>Unlevered Free Cash Flow (UFCF)</t>
        </is>
      </c>
      <c r="B22" s="41">
        <f>B17+B18+B19+B21</f>
        <v/>
      </c>
      <c r="C22" s="41">
        <f>C17+C18+C19+C21</f>
        <v/>
      </c>
      <c r="D22" s="41">
        <f>D17+D18+D19+D21</f>
        <v/>
      </c>
      <c r="E22" s="41">
        <f>E17+E18+E19+E21</f>
        <v/>
      </c>
      <c r="F22" s="41">
        <f>F17+F18+F19+F21</f>
        <v/>
      </c>
      <c r="G22" s="41">
        <f>G17+G18+G19+G21</f>
        <v/>
      </c>
      <c r="H22" s="41">
        <f>H17+H18+H19+H21</f>
        <v/>
      </c>
      <c r="I22" s="41">
        <f>I17+I18+I19+I21</f>
        <v/>
      </c>
      <c r="J22" s="41">
        <f>J17+J18+J19+J21</f>
        <v/>
      </c>
      <c r="K22" s="41">
        <f>K17+K18+K19+K21</f>
        <v/>
      </c>
      <c r="L22" s="41">
        <f>L17+L18+L19+L21</f>
        <v/>
      </c>
      <c r="M22" s="41">
        <f>L22*(1+04_Assumptions_Audit!$B$22)</f>
        <v/>
      </c>
    </row>
    <row r="23">
      <c r="A23" s="38" t="inlineStr">
        <is>
          <t>Cash Flow Timing (Years to Discount)</t>
        </is>
      </c>
      <c r="B23" s="39" t="inlineStr">
        <is>
          <t>-</t>
        </is>
      </c>
      <c r="C23" s="39" t="inlineStr">
        <is>
          <t>-</t>
        </is>
      </c>
      <c r="D23" s="39" t="inlineStr">
        <is>
          <t>-</t>
        </is>
      </c>
      <c r="E23" s="39" t="inlineStr">
        <is>
          <t>-</t>
        </is>
      </c>
      <c r="F23" s="39" t="inlineStr">
        <is>
          <t>-</t>
        </is>
      </c>
      <c r="G23" s="42" t="n">
        <v>1</v>
      </c>
      <c r="H23" s="42" t="n">
        <v>2</v>
      </c>
      <c r="I23" s="42" t="n">
        <v>3</v>
      </c>
      <c r="J23" s="42" t="n">
        <v>4</v>
      </c>
      <c r="K23" s="42" t="n">
        <v>5</v>
      </c>
      <c r="L23" s="42" t="n">
        <v>6</v>
      </c>
      <c r="M23" s="39" t="inlineStr">
        <is>
          <t>-</t>
        </is>
      </c>
    </row>
    <row r="24">
      <c r="A24" s="38" t="inlineStr">
        <is>
          <t>Discount Factor</t>
        </is>
      </c>
      <c r="B24" s="39" t="inlineStr">
        <is>
          <t>-</t>
        </is>
      </c>
      <c r="C24" s="39" t="inlineStr">
        <is>
          <t>-</t>
        </is>
      </c>
      <c r="D24" s="39" t="inlineStr">
        <is>
          <t>-</t>
        </is>
      </c>
      <c r="E24" s="39" t="inlineStr">
        <is>
          <t>-</t>
        </is>
      </c>
      <c r="F24" s="39" t="inlineStr">
        <is>
          <t>-</t>
        </is>
      </c>
      <c r="G24" s="43">
        <f>1/(1+04_Assumptions_Audit!$B$21)^G23</f>
        <v/>
      </c>
      <c r="H24" s="43">
        <f>1/(1+04_Assumptions_Audit!$B$21)^H23</f>
        <v/>
      </c>
      <c r="I24" s="43">
        <f>1/(1+04_Assumptions_Audit!$B$21)^I23</f>
        <v/>
      </c>
      <c r="J24" s="43">
        <f>1/(1+04_Assumptions_Audit!$B$21)^J23</f>
        <v/>
      </c>
      <c r="K24" s="43">
        <f>1/(1+04_Assumptions_Audit!$B$21)^K23</f>
        <v/>
      </c>
      <c r="L24" s="43">
        <f>1/(1+04_Assumptions_Audit!$B$21)^L23</f>
        <v/>
      </c>
      <c r="M24" s="39" t="inlineStr">
        <is>
          <t>-</t>
        </is>
      </c>
    </row>
    <row r="25">
      <c r="A25" s="44" t="inlineStr">
        <is>
          <t>Discounted Cash Flows (PV of FCFF)</t>
        </is>
      </c>
      <c r="B25" s="45" t="inlineStr">
        <is>
          <t>-</t>
        </is>
      </c>
      <c r="C25" s="45" t="inlineStr">
        <is>
          <t>-</t>
        </is>
      </c>
      <c r="D25" s="45" t="inlineStr">
        <is>
          <t>-</t>
        </is>
      </c>
      <c r="E25" s="45" t="inlineStr">
        <is>
          <t>-</t>
        </is>
      </c>
      <c r="F25" s="45" t="inlineStr">
        <is>
          <t>-</t>
        </is>
      </c>
      <c r="G25" s="46">
        <f>G22*G24</f>
        <v/>
      </c>
      <c r="H25" s="46">
        <f>H22*H24</f>
        <v/>
      </c>
      <c r="I25" s="46">
        <f>I22*I24</f>
        <v/>
      </c>
      <c r="J25" s="46">
        <f>J22*J24</f>
        <v/>
      </c>
      <c r="K25" s="46">
        <f>K22*K24</f>
        <v/>
      </c>
      <c r="L25" s="46">
        <f>L22*L24</f>
        <v/>
      </c>
      <c r="M25" s="46">
        <f>M22/(04_Assumptions_Audit!$B$21-04_Assumptions_Audit!$B$22)*L24</f>
        <v/>
      </c>
    </row>
    <row r="26"/>
    <row r="27"/>
    <row r="28">
      <c r="A28" s="7" t="inlineStr">
        <is>
          <t>Value Based on WACC &amp; Perpetuity Growth Method</t>
        </is>
      </c>
      <c r="B28" s="14" t="inlineStr">
        <is>
          <t>Amount (₹ Cr)</t>
        </is>
      </c>
      <c r="C28" s="14" t="inlineStr">
        <is>
          <t>% of Total NPV</t>
        </is>
      </c>
      <c r="E28" s="7" t="inlineStr">
        <is>
          <t>Sensitivity Analysis: Implied Target Share Price (₹)</t>
        </is>
      </c>
    </row>
    <row r="29">
      <c r="A29" s="38" t="inlineStr">
        <is>
          <t>Present Value of Explicit Cash Flows</t>
        </is>
      </c>
      <c r="B29" s="24">
        <f>SUM(G25:L25)</f>
        <v/>
      </c>
      <c r="C29" s="47">
        <f>B29/B31</f>
        <v/>
      </c>
      <c r="E29" s="14" t="inlineStr">
        <is>
          <t>WACC \ TGR</t>
        </is>
      </c>
      <c r="F29" s="48" t="n">
        <v>0.04</v>
      </c>
      <c r="G29" s="48" t="n">
        <v>0.045</v>
      </c>
      <c r="H29" s="48" t="n">
        <v>0.05</v>
      </c>
      <c r="I29" s="48" t="n">
        <v>0.055</v>
      </c>
      <c r="J29" s="48" t="n">
        <v>0.06</v>
      </c>
    </row>
    <row r="30">
      <c r="A30" s="38" t="inlineStr">
        <is>
          <t>PV of Terminal Value</t>
        </is>
      </c>
      <c r="B30" s="24">
        <f>M25</f>
        <v/>
      </c>
      <c r="C30" s="47">
        <f>B30/B31</f>
        <v/>
      </c>
      <c r="E30" s="48" t="n">
        <v>0.095</v>
      </c>
      <c r="F30" s="49">
        <f>($B$29 + ($L$22*(1+F$29) / ($E30 - F$29) / ((1+$E30)^$L$23)) + $B$32) / $B$34</f>
        <v/>
      </c>
      <c r="G30" s="49">
        <f>($B$29 + ($L$22*(1+G$29) / ($E30 - G$29) / ((1+$E30)^$L$23)) + $B$32) / $B$34</f>
        <v/>
      </c>
      <c r="H30" s="49">
        <f>($B$29 + ($L$22*(1+H$29) / ($E30 - H$29) / ((1+$E30)^$L$23)) + $B$32) / $B$34</f>
        <v/>
      </c>
      <c r="I30" s="49">
        <f>($B$29 + ($L$22*(1+I$29) / ($E30 - I$29) / ((1+$E30)^$L$23)) + $B$32) / $B$34</f>
        <v/>
      </c>
      <c r="J30" s="49">
        <f>($B$29 + ($L$22*(1+J$29) / ($E30 - J$29) / ((1+$E30)^$L$23)) + $B$32) / $B$34</f>
        <v/>
      </c>
    </row>
    <row r="31">
      <c r="A31" s="15" t="inlineStr">
        <is>
          <t>Implied Firm NPV (Enterprise Value)</t>
        </is>
      </c>
      <c r="B31" s="50">
        <f>B29+B30</f>
        <v/>
      </c>
      <c r="C31" s="11" t="n">
        <v>1</v>
      </c>
      <c r="E31" s="48" t="n">
        <v>0.1</v>
      </c>
      <c r="F31" s="49">
        <f>($B$29 + ($L$22*(1+F$29) / ($E31 - F$29) / ((1+$E31)^$L$23)) + $B$32) / $B$34</f>
        <v/>
      </c>
      <c r="G31" s="49">
        <f>($B$29 + ($L$22*(1+G$29) / ($E31 - G$29) / ((1+$E31)^$L$23)) + $B$32) / $B$34</f>
        <v/>
      </c>
      <c r="H31" s="49">
        <f>($B$29 + ($L$22*(1+H$29) / ($E31 - H$29) / ((1+$E31)^$L$23)) + $B$32) / $B$34</f>
        <v/>
      </c>
      <c r="I31" s="49">
        <f>($B$29 + ($L$22*(1+I$29) / ($E31 - I$29) / ((1+$E31)^$L$23)) + $B$32) / $B$34</f>
        <v/>
      </c>
      <c r="J31" s="49">
        <f>($B$29 + ($L$22*(1+J$29) / ($E31 - J$29) / ((1+$E31)^$L$23)) + $B$32) / $B$34</f>
        <v/>
      </c>
    </row>
    <row r="32">
      <c r="A32" s="51" t="inlineStr">
        <is>
          <t>(+) Net Cash as of FY26</t>
        </is>
      </c>
      <c r="B32" s="16">
        <f>04_Assumptions_Audit!$B$6</f>
        <v/>
      </c>
      <c r="C32" s="52" t="inlineStr">
        <is>
          <t>-</t>
        </is>
      </c>
      <c r="E32" s="48" t="n">
        <v>0.105</v>
      </c>
      <c r="F32" s="49">
        <f>($B$29 + ($L$22*(1+F$29) / ($E32 - F$29) / ((1+$E32)^$L$23)) + $B$32) / $B$34</f>
        <v/>
      </c>
      <c r="G32" s="49">
        <f>($B$29 + ($L$22*(1+G$29) / ($E32 - G$29) / ((1+$E32)^$L$23)) + $B$32) / $B$34</f>
        <v/>
      </c>
      <c r="H32" s="53">
        <f>($B$29 + ($L$22*(1+H$29) / ($E32 - H$29) / ((1+$E32)^$L$23)) + $B$32) / $B$34</f>
        <v/>
      </c>
      <c r="I32" s="49">
        <f>($B$29 + ($L$22*(1+I$29) / ($E32 - I$29) / ((1+$E32)^$L$23)) + $B$32) / $B$34</f>
        <v/>
      </c>
      <c r="J32" s="49">
        <f>($B$29 + ($L$22*(1+J$29) / ($E32 - J$29) / ((1+$E32)^$L$23)) + $B$32) / $B$34</f>
        <v/>
      </c>
    </row>
    <row r="33">
      <c r="A33" s="15" t="inlineStr">
        <is>
          <t>Implied Equity Value</t>
        </is>
      </c>
      <c r="B33" s="50">
        <f>B31+B32</f>
        <v/>
      </c>
      <c r="C33" s="35" t="inlineStr">
        <is>
          <t>-</t>
        </is>
      </c>
      <c r="E33" s="48" t="n">
        <v>0.11</v>
      </c>
      <c r="F33" s="49">
        <f>($B$29 + ($L$22*(1+F$29) / ($E33 - F$29) / ((1+$E33)^$L$23)) + $B$32) / $B$34</f>
        <v/>
      </c>
      <c r="G33" s="49">
        <f>($B$29 + ($L$22*(1+G$29) / ($E33 - G$29) / ((1+$E33)^$L$23)) + $B$32) / $B$34</f>
        <v/>
      </c>
      <c r="H33" s="49">
        <f>($B$29 + ($L$22*(1+H$29) / ($E33 - H$29) / ((1+$E33)^$L$23)) + $B$32) / $B$34</f>
        <v/>
      </c>
      <c r="I33" s="49">
        <f>($B$29 + ($L$22*(1+I$29) / ($E33 - I$29) / ((1+$E33)^$L$23)) + $B$32) / $B$34</f>
        <v/>
      </c>
      <c r="J33" s="49">
        <f>($B$29 + ($L$22*(1+J$29) / ($E33 - J$29) / ((1+$E33)^$L$23)) + $B$32) / $B$34</f>
        <v/>
      </c>
    </row>
    <row r="34">
      <c r="A34" s="51" t="inlineStr">
        <is>
          <t>Diluted Shares Outstanding (Cr)</t>
        </is>
      </c>
      <c r="B34" s="54">
        <f>04_Assumptions_Audit!$B$7</f>
        <v/>
      </c>
      <c r="C34" s="52" t="inlineStr">
        <is>
          <t>-</t>
        </is>
      </c>
      <c r="E34" s="48" t="n">
        <v>0.115</v>
      </c>
      <c r="F34" s="49">
        <f>($B$29 + ($L$22*(1+F$29) / ($E34 - F$29) / ((1+$E34)^$L$23)) + $B$32) / $B$34</f>
        <v/>
      </c>
      <c r="G34" s="49">
        <f>($B$29 + ($L$22*(1+G$29) / ($E34 - G$29) / ((1+$E34)^$L$23)) + $B$32) / $B$34</f>
        <v/>
      </c>
      <c r="H34" s="49">
        <f>($B$29 + ($L$22*(1+H$29) / ($E34 - H$29) / ((1+$E34)^$L$23)) + $B$32) / $B$34</f>
        <v/>
      </c>
      <c r="I34" s="49">
        <f>($B$29 + ($L$22*(1+I$29) / ($E34 - I$29) / ((1+$E34)^$L$23)) + $B$32) / $B$34</f>
        <v/>
      </c>
      <c r="J34" s="49">
        <f>($B$29 + ($L$22*(1+J$29) / ($E34 - J$29) / ((1+$E34)^$L$23)) + $B$32) / $B$34</f>
        <v/>
      </c>
    </row>
    <row r="35">
      <c r="A35" s="15" t="inlineStr">
        <is>
          <t>Implied Target Price per Share (₹)</t>
        </is>
      </c>
      <c r="B35" s="55">
        <f>B33/B34</f>
        <v/>
      </c>
      <c r="C35" s="35" t="inlineStr">
        <is>
          <t>-</t>
        </is>
      </c>
    </row>
    <row r="36">
      <c r="A36" s="15" t="inlineStr">
        <is>
          <t>% Premium / (Discount) to Current</t>
        </is>
      </c>
      <c r="B36" s="11">
        <f>(B35/04_Assumptions_Audit!$B$4)-1</f>
        <v/>
      </c>
      <c r="C36" s="35" t="inlineStr">
        <is>
          <t>-</t>
        </is>
      </c>
    </row>
    <row r="37">
      <c r="A37" s="2" t="inlineStr">
        <is>
          <t>Source: Company Disclosures, NSE Data, Analyst Estimates; JP Morgan DCF Framework</t>
        </is>
      </c>
    </row>
  </sheetData>
  <mergeCells count="3">
    <mergeCell ref="B4:F4"/>
    <mergeCell ref="G4:I4"/>
    <mergeCell ref="J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  <col width="11" customWidth="1" min="4" max="4"/>
    <col width="30" customWidth="1" min="5" max="5"/>
    <col width="40" customWidth="1" min="6" max="6"/>
    <col width="20" customWidth="1" min="7" max="7"/>
    <col width="11" customWidth="1" min="8" max="8"/>
  </cols>
  <sheetData>
    <row r="1">
      <c r="A1" s="1" t="inlineStr">
        <is>
          <t>MODEL ASSUMPTIONS, INTEGRITY CHECKS &amp; SOURCES</t>
        </is>
      </c>
    </row>
    <row r="2">
      <c r="A2" s="2" t="inlineStr">
        <is>
          <t>Centralized input parameter registry, dynamic error controls and peer reference multiples</t>
        </is>
      </c>
    </row>
    <row r="3">
      <c r="A3" s="14" t="inlineStr">
        <is>
          <t>Variable Parameter</t>
        </is>
      </c>
      <c r="B3" s="14" t="inlineStr">
        <is>
          <t>Assumption Value</t>
        </is>
      </c>
      <c r="C3" s="14" t="inlineStr">
        <is>
          <t>Data Source &amp; Basis</t>
        </is>
      </c>
      <c r="E3" s="8" t="inlineStr">
        <is>
          <t>Peer OEM Company</t>
        </is>
      </c>
      <c r="F3" s="8" t="inlineStr">
        <is>
          <t>P/E (x)</t>
        </is>
      </c>
      <c r="G3" s="8" t="inlineStr">
        <is>
          <t>EV/EBITDA (x)</t>
        </is>
      </c>
      <c r="H3" s="8" t="inlineStr">
        <is>
          <t>ROE (%)</t>
        </is>
      </c>
    </row>
    <row r="4">
      <c r="A4" s="15" t="inlineStr">
        <is>
          <t>Market Reference Share Price (₹)</t>
        </is>
      </c>
      <c r="B4" s="56" t="n">
        <v>7344</v>
      </c>
      <c r="C4" s="18" t="inlineStr">
        <is>
          <t>NSE closing price reference (Sept 2026)</t>
        </is>
      </c>
    </row>
    <row r="5">
      <c r="A5" s="38" t="inlineStr">
        <is>
          <t>FY26 Reported EPS (₹)</t>
        </is>
      </c>
      <c r="B5" s="57" t="n">
        <v>202</v>
      </c>
      <c r="C5" s="18" t="inlineStr">
        <is>
          <t>FY26 Audited PAT ₹5,515 Cr / 27.3 Cr Shares</t>
        </is>
      </c>
      <c r="E5" s="38" t="inlineStr">
        <is>
          <t>Bajaj Auto</t>
        </is>
      </c>
      <c r="F5" s="58" t="n">
        <v>30.02</v>
      </c>
      <c r="G5" s="58" t="n">
        <v>20.53</v>
      </c>
      <c r="H5" s="47" t="n">
        <v>0.2284</v>
      </c>
    </row>
    <row r="6">
      <c r="A6" s="38" t="inlineStr">
        <is>
          <t>Net Cash Proxy (₹ Cr)</t>
        </is>
      </c>
      <c r="B6" s="57" t="n">
        <v>5450</v>
      </c>
      <c r="C6" s="18" t="inlineStr">
        <is>
          <t>FY26 Audited Cash, Bank &amp; Liquid Treasury</t>
        </is>
      </c>
      <c r="E6" s="38" t="inlineStr">
        <is>
          <t>Maruti Suzuki</t>
        </is>
      </c>
      <c r="F6" s="58" t="n">
        <v>24.98</v>
      </c>
      <c r="G6" s="58" t="n">
        <v>14.23</v>
      </c>
      <c r="H6" s="47" t="n">
        <v>0.1595</v>
      </c>
    </row>
    <row r="7">
      <c r="A7" s="38" t="inlineStr">
        <is>
          <t>Diluted Common Shares (Cr)</t>
        </is>
      </c>
      <c r="B7" s="59" t="n">
        <v>27.3</v>
      </c>
      <c r="C7" s="18" t="inlineStr">
        <is>
          <t>Company Disclosures (Share Capital Base)</t>
        </is>
      </c>
      <c r="E7" s="38" t="inlineStr">
        <is>
          <t>Mahindra &amp; Mahindra</t>
        </is>
      </c>
      <c r="F7" s="58" t="n">
        <v>23.02</v>
      </c>
      <c r="G7" s="58" t="n">
        <v>11.74</v>
      </c>
      <c r="H7" s="47" t="n">
        <v>0.1965</v>
      </c>
    </row>
    <row r="8">
      <c r="A8" s="15" t="inlineStr">
        <is>
          <t>Eicher Motors Trailing P/E</t>
        </is>
      </c>
      <c r="B8" s="60">
        <f>B4/B5</f>
        <v/>
      </c>
      <c r="C8" s="18" t="inlineStr">
        <is>
          <t>Formula: Price / FY26 EPS</t>
        </is>
      </c>
      <c r="E8" s="38" t="inlineStr">
        <is>
          <t>TVS Motor</t>
        </is>
      </c>
      <c r="F8" s="58" t="n">
        <v>51.44</v>
      </c>
      <c r="G8" s="58" t="n">
        <v>20.86</v>
      </c>
      <c r="H8" s="47" t="n">
        <v>0.3114</v>
      </c>
    </row>
    <row r="9">
      <c r="A9" s="15" t="inlineStr">
        <is>
          <t>Automotive Sector Median P/E</t>
        </is>
      </c>
      <c r="B9" s="60">
        <f>MEDIAN(F5:F9)</f>
        <v/>
      </c>
      <c r="C9" s="18" t="inlineStr">
        <is>
          <t>Median of 5 Direct OEM Peers (ex-Eicher)</t>
        </is>
      </c>
      <c r="E9" s="38" t="inlineStr">
        <is>
          <t>Hyundai Motor India</t>
        </is>
      </c>
      <c r="F9" s="58" t="n">
        <v>24.59</v>
      </c>
      <c r="G9" s="58" t="n">
        <v>13.33</v>
      </c>
      <c r="H9" s="47" t="n">
        <v>0.4184</v>
      </c>
    </row>
    <row r="10">
      <c r="A10" s="38" t="inlineStr">
        <is>
          <t>FY27E Revenue Growth Assumption</t>
        </is>
      </c>
      <c r="B10" s="22" t="n">
        <v>0.15</v>
      </c>
      <c r="C10" s="18" t="inlineStr">
        <is>
          <t>Analyst Base Estimate (Product Launch Cadence)</t>
        </is>
      </c>
    </row>
    <row r="11">
      <c r="A11" s="38" t="inlineStr">
        <is>
          <t>FY28E Revenue Growth Assumption</t>
        </is>
      </c>
      <c r="B11" s="22" t="n">
        <v>0.14</v>
      </c>
      <c r="C11" s="18" t="inlineStr">
        <is>
          <t>Analyst Base Estimate (Market Share Durability)</t>
        </is>
      </c>
    </row>
    <row r="12">
      <c r="A12" s="38" t="inlineStr">
        <is>
          <t>FY29E Revenue Growth Assumption</t>
        </is>
      </c>
      <c r="B12" s="22" t="n">
        <v>0.12</v>
      </c>
      <c r="C12" s="18" t="inlineStr">
        <is>
          <t>Analyst Base Estimate (Terminal Convergence)</t>
        </is>
      </c>
      <c r="E12" s="7" t="inlineStr">
        <is>
          <t>Automated Model Controls &amp; Integrity Checks</t>
        </is>
      </c>
    </row>
    <row r="13">
      <c r="A13" s="38" t="inlineStr">
        <is>
          <t>FY27E EBITDA Margin Assumption</t>
        </is>
      </c>
      <c r="B13" s="22" t="n">
        <v>0.25</v>
      </c>
      <c r="C13" s="18" t="inlineStr">
        <is>
          <t>Analyst Base Estimate (Fixed Cost Absorption)</t>
        </is>
      </c>
      <c r="E13" s="14" t="inlineStr">
        <is>
          <t>Audit Control Item</t>
        </is>
      </c>
      <c r="F13" s="14" t="inlineStr">
        <is>
          <t>Validation Logic</t>
        </is>
      </c>
      <c r="G13" s="14" t="inlineStr">
        <is>
          <t>Control Status</t>
        </is>
      </c>
    </row>
    <row r="14">
      <c r="A14" s="38" t="inlineStr">
        <is>
          <t>FY28E EBITDA Margin Assumption</t>
        </is>
      </c>
      <c r="B14" s="22" t="n">
        <v>0.255</v>
      </c>
      <c r="C14" s="18" t="inlineStr">
        <is>
          <t>Analyst Base Estimate (Premium Realization)</t>
        </is>
      </c>
      <c r="E14" s="38" t="inlineStr">
        <is>
          <t>DCF Denominator Stability</t>
        </is>
      </c>
      <c r="F14" s="18" t="inlineStr">
        <is>
          <t>WACC &gt; Perpetual Terminal Growth (g)</t>
        </is>
      </c>
      <c r="G14" s="61">
        <f>IF(B19&gt;B20, "PASS", "FAIL: REVISE RATES")</f>
        <v/>
      </c>
    </row>
    <row r="15">
      <c r="A15" s="38" t="inlineStr">
        <is>
          <t>FY29E EBITDA Margin Assumption</t>
        </is>
      </c>
      <c r="B15" s="22" t="n">
        <v>0.26</v>
      </c>
      <c r="C15" s="18" t="inlineStr">
        <is>
          <t>Analyst Base Estimate (Scale Efficiencies)</t>
        </is>
      </c>
      <c r="E15" s="38" t="inlineStr">
        <is>
          <t>Terminal Value Share %</t>
        </is>
      </c>
      <c r="F15" s="18" t="inlineStr">
        <is>
          <t>PV of TV &lt; 85% of Total Enterprise Value</t>
        </is>
      </c>
      <c r="G15" s="61">
        <f>IF(03_DCF_Model!B30/03_DCF_Model!B31&lt;0.85, "PASS", "FLAG: HIGH TV")</f>
        <v/>
      </c>
    </row>
    <row r="16">
      <c r="A16" s="38" t="inlineStr">
        <is>
          <t>FY27E PAT Margin Assumption</t>
        </is>
      </c>
      <c r="B16" s="22" t="n">
        <v>0.2</v>
      </c>
      <c r="C16" s="18" t="inlineStr">
        <is>
          <t>Analyst Base Estimate (Effective Tax 25.17%)</t>
        </is>
      </c>
      <c r="E16" s="38" t="inlineStr">
        <is>
          <t>Scenario Monotonicity</t>
        </is>
      </c>
      <c r="F16" s="18" t="inlineStr">
        <is>
          <t>Bear Target &lt; Base Target &lt; Bull Target</t>
        </is>
      </c>
      <c r="G16" s="61">
        <f>IF(AND(02_Scenario_Analysis!H6&lt;02_Scenario_Analysis!H7, 02_Scenario_Analysis!H7&lt;02_Scenario_Analysis!H8), "PASS", "FAIL: ORDER")</f>
        <v/>
      </c>
    </row>
    <row r="17">
      <c r="A17" s="38" t="inlineStr">
        <is>
          <t>FY28E PAT Margin Assumption</t>
        </is>
      </c>
      <c r="B17" s="22" t="n">
        <v>0.205</v>
      </c>
      <c r="C17" s="18" t="inlineStr">
        <is>
          <t>Analyst Base Estimate (Operating Leverage)</t>
        </is>
      </c>
      <c r="E17" s="38" t="inlineStr">
        <is>
          <t>Executive Dashboard Sync</t>
        </is>
      </c>
      <c r="F17" s="18" t="inlineStr">
        <is>
          <t>Summary DCF Equals Detailed DCF Output</t>
        </is>
      </c>
      <c r="G17" s="61">
        <f>IF(ROUND(00_Executive_Summary!F5, 2)=ROUND(03_DCF_Model!B35, 2), "PASS", "FAIL: DESYNC")</f>
        <v/>
      </c>
    </row>
    <row r="18">
      <c r="A18" s="38" t="inlineStr">
        <is>
          <t>FY29E PAT Margin Assumption</t>
        </is>
      </c>
      <c r="B18" s="22" t="n">
        <v>0.21</v>
      </c>
      <c r="C18" s="18" t="inlineStr">
        <is>
          <t>Analyst Base Estimate (Normalized Profitability)</t>
        </is>
      </c>
      <c r="E18" s="38" t="inlineStr">
        <is>
          <t>Scenario Cross-Check</t>
        </is>
      </c>
      <c r="F18" s="18" t="inlineStr">
        <is>
          <t>Summary Base Target Equals Scenario Base Target</t>
        </is>
      </c>
      <c r="G18" s="61">
        <f>IF(ROUND(00_Executive_Summary!D5, 2)=ROUND(02_Scenario_Analysis!H7, 2), "PASS", "FAIL: DESYNC")</f>
        <v/>
      </c>
    </row>
    <row r="19">
      <c r="A19" s="38" t="inlineStr">
        <is>
          <t>Weighted Average Cost of Capital (WACC)</t>
        </is>
      </c>
      <c r="B19" s="22" t="n">
        <v>0.105</v>
      </c>
      <c r="C19" s="18" t="inlineStr">
        <is>
          <t>Rf: 7.1%, Beta: 1.05, ERP: 5.5%, Ke: 12.8%, Kd: 8.5%</t>
        </is>
      </c>
    </row>
    <row r="20">
      <c r="A20" s="38" t="inlineStr">
        <is>
          <t>Perpetual Terminal Growth Rate (g)</t>
        </is>
      </c>
      <c r="B20" s="22" t="n">
        <v>0.05</v>
      </c>
      <c r="C20" s="18" t="inlineStr">
        <is>
          <t>Long-term India Nominal GDP Trend Proxy</t>
        </is>
      </c>
    </row>
    <row r="21">
      <c r="A21" s="38" t="inlineStr">
        <is>
          <t>D&amp;A (% of Revenue)</t>
        </is>
      </c>
      <c r="B21" s="22" t="n">
        <v>0.018</v>
      </c>
      <c r="C21" s="18" t="inlineStr">
        <is>
          <t>Historical FY22-FY26 Normalized Depreciation Run-rate</t>
        </is>
      </c>
    </row>
    <row r="22">
      <c r="A22" s="38" t="inlineStr">
        <is>
          <t>Capex (% of Revenue)</t>
        </is>
      </c>
      <c r="B22" s="22" t="n">
        <v>0.045</v>
      </c>
      <c r="C22" s="18" t="inlineStr">
        <is>
          <t>Capacity Expansion &amp; EV Architecture Investments</t>
        </is>
      </c>
    </row>
    <row r="23">
      <c r="A23" s="38" t="inlineStr">
        <is>
          <t>Working Capital Investment (% of Rev)</t>
        </is>
      </c>
      <c r="B23" s="22" t="n">
        <v>0.025</v>
      </c>
      <c r="C23" s="18" t="inlineStr">
        <is>
          <t>Inventory &amp; Dealer Credit Working Capital Requirement</t>
        </is>
      </c>
    </row>
    <row r="24">
      <c r="A24" s="38" t="inlineStr">
        <is>
          <t>Effective Corporate Tax Rate</t>
        </is>
      </c>
      <c r="B24" s="22" t="n">
        <v>0.2517</v>
      </c>
      <c r="C24" s="18" t="inlineStr">
        <is>
          <t>Statutory Corporate Tax Rate (India Section 115BAA)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2026-09-27T19:02:54Z</dcterms:created>
  <dcterms:modified xmlns:dcterms="http://purl.org/dc/terms/" xmlns:xsi="http://www.w3.org/2001/XMLSchema-instance" xsi:type="dcterms:W3CDTF">2026-09-27T19:02:54Z</dcterms:modified>
</cp:coreProperties>
</file>